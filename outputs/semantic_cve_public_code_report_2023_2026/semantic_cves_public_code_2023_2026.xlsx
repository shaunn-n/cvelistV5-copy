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546c2602594ec4" /></Relationships>
</file>

<file path=xl/workbook.xml><?xml version="1.0" encoding="utf-8"?>
<x:workbook xmlns:x="http://schemas.openxmlformats.org/spreadsheetml/2006/main">
  <x:sheets>
    <x:sheet xmlns:r="http://schemas.openxmlformats.org/officeDocument/2006/relationships" name="Summary" sheetId="1" r:id="R3acbb3ecfbdd43f0"/>
    <x:sheet xmlns:r="http://schemas.openxmlformats.org/officeDocument/2006/relationships" name="Verified CVEs" sheetId="2" r:id="R7efd876c39ac4ab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FFFFFF"/>
      <x:name val="Carlito"/>
    </x:font>
    <x:font>
      <x:i/>
      <x:sz val="11"/>
      <x:name val="Carlito"/>
    </x:font>
    <x:font>
      <x:b/>
      <x:sz val="15"/>
      <x:color rgb="FFFFFFFF"/>
      <x:name val="Carlito"/>
    </x:font>
    <x:font>
      <x:b/>
      <x:sz val="11"/>
      <x:name val="Carlito"/>
    </x:font>
  </x:fonts>
  <x:fills count="5">
    <x:fill>
      <x:patternFill patternType="none"/>
    </x:fill>
    <x:fill>
      <x:patternFill patternType="gray125"/>
    </x:fill>
    <x:fill>
      <x:patternFill patternType="solid">
        <x:fgColor rgb="FF17365D"/>
      </x:patternFill>
    </x:fill>
    <x:fill>
      <x:patternFill patternType="solid">
        <x:fgColor rgb="FFDCEAF7"/>
      </x:patternFill>
    </x:fill>
    <x:fill>
      <x:patternFill patternType="solid">
        <x:fgColor rgb="FFD9EAD3"/>
      </x:patternFill>
    </x:fill>
  </x:fills>
  <x:borders count="2">
    <x:border/>
    <x:border>
      <x:left style="thin">
        <x:color rgb="FFD0D7DE"/>
      </x:left>
      <x:right style="thin">
        <x:color rgb="FFD0D7DE"/>
      </x:right>
      <x:top style="thin">
        <x:color rgb="FFD0D7DE"/>
      </x:top>
      <x:bottom style="thin">
        <x:color rgb="FFD0D7DE"/>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5" fillId="4"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d1f4d8b68049b1" /><Relationship Type="http://schemas.openxmlformats.org/officeDocument/2006/relationships/theme" Target="/xl/theme/theme1.xml" Id="Rb581f62fffc641dc" /><Relationship Type="http://schemas.openxmlformats.org/officeDocument/2006/relationships/sharedStrings" Target="/xl/sharedStrings.xml" Id="R39977e7fd9f24f4b" /><Relationship Type="http://schemas.openxmlformats.org/officeDocument/2006/relationships/worksheet" Target="/xl/worksheets/sheet1.xml" Id="R3acbb3ecfbdd43f0" /><Relationship Type="http://schemas.openxmlformats.org/officeDocument/2006/relationships/worksheet" Target="/xl/worksheets/sheet2.xml" Id="R7efd876c39ac4ab3" /></Relationships>
</file>

<file path=xl/tables/table1.xml><?xml version="1.0" encoding="utf-8"?>
<x:table xmlns:x="http://schemas.openxmlformats.org/spreadsheetml/2006/main" id="1" name="VerifiedCVEsTable" displayName="VerifiedCVEsTable" ref="A6:L36" headerRowCount="1" totalsRowCount="0" totalsRowShown="0">
  <x:tableColumns count="12">
    <x:tableColumn id="1" name="Category"/>
    <x:tableColumn id="2" name="Year"/>
    <x:tableColumn id="3" name="CVE"/>
    <x:tableColumn id="4" name="CWE"/>
    <x:tableColumn id="5" name="Title"/>
    <x:tableColumn id="6" name="Description"/>
    <x:tableColumn id="7" name="Public vulnerable code"/>
    <x:tableColumn id="8" name="Public fix"/>
    <x:tableColumn id="9" name="Evidence"/>
    <x:tableColumn id="10" name="Public commit or PR"/>
    <x:tableColumn id="11" name="CVE record"/>
    <x:tableColumn id="12" name="Verified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1d78c39962450d"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3" hidden="0" customWidth="1"/>
    <x:col min="3" max="3" width="13" hidden="0" customWidth="1"/>
    <x:col min="4" max="4" width="13" hidden="0" customWidth="1"/>
    <x:col min="5" max="5" width="13" hidden="0" customWidth="1"/>
    <x:col min="6" max="6" width="13" hidden="0" customWidth="1"/>
  </x:cols>
  <x:sheetData>
    <x:row r="1" ht="30" customHeight="1">
      <x:c r="A1" s="4" t="str">
        <x:v>High-Confidence Semantic CVEs with Public Code &amp; Fix Evidence</x:v>
      </x:c>
      <x:c r="B1" s="4"/>
      <x:c r="C1" s="4"/>
      <x:c r="D1" s="4"/>
      <x:c r="E1" s="4"/>
      <x:c r="F1" s="4"/>
    </x:row>
    <x:row r="3">
      <x:c r="A3" s="6" t="str">
        <x:v>Scope: five CVEs for each semantic category, with at least one selected CVE from every year 2023–2026.</x:v>
      </x:c>
      <x:c r="B3" s="6"/>
      <x:c r="C3" s="6"/>
      <x:c r="D3" s="6"/>
      <x:c r="E3" s="6"/>
      <x:c r="F3" s="6"/>
    </x:row>
    <x:row r="4" ht="40" customHeight="1">
      <x:c r="A4" s="6" t="str">
        <x:v>Evidence standard: each selected CVE record contains a direct public GitHub/GitLab commit or pull-request reference. The public pre-change parent/revision is the vulnerable-code evidence; the linked diff/PR is the remediation evidence.</x:v>
      </x:c>
      <x:c r="B4" s="6"/>
      <x:c r="C4" s="6"/>
      <x:c r="D4" s="6"/>
      <x:c r="E4" s="6"/>
      <x:c r="F4" s="6"/>
    </x:row>
    <x:row r="6">
      <x:c r="A6" s="9" t="str">
        <x:v>Semantic category</x:v>
      </x:c>
      <x:c r="B6" s="9" t="str">
        <x:v>Selected CVEs</x:v>
      </x:c>
      <x:c r="C6" s="9" t="str">
        <x:v>2023</x:v>
      </x:c>
      <x:c r="D6" s="9" t="str">
        <x:v>2024</x:v>
      </x:c>
      <x:c r="E6" s="9" t="str">
        <x:v>2025</x:v>
      </x:c>
      <x:c r="F6" s="9" t="str">
        <x:v>2026</x:v>
      </x:c>
    </x:row>
    <x:row r="7">
      <x:c r="A7" s="10" t="str">
        <x:v>Authorization errors</x:v>
      </x:c>
      <x:c r="B7" s="11" t="n">
        <x:f>COUNTIF('Verified CVEs'!$A$7:$A$36,A7)</x:f>
        <x:v>5</x:v>
      </x:c>
      <x:c r="C7" s="11" t="n">
        <x:f>COUNTIFS('Verified CVEs'!$A$7:$A$36,$A7,'Verified CVEs'!$B$7:$B$36,2023)</x:f>
        <x:v>2</x:v>
      </x:c>
      <x:c r="D7" s="11" t="n">
        <x:f>COUNTIFS('Verified CVEs'!$A$7:$A$36,$A7,'Verified CVEs'!$B$7:$B$36,2024)</x:f>
        <x:v>1</x:v>
      </x:c>
      <x:c r="E7" s="11" t="n">
        <x:f>COUNTIFS('Verified CVEs'!$A$7:$A$36,$A7,'Verified CVEs'!$B$7:$B$36,2025)</x:f>
        <x:v>1</x:v>
      </x:c>
      <x:c r="F7" s="11" t="n">
        <x:f>COUNTIFS('Verified CVEs'!$A$7:$A$36,$A7,'Verified CVEs'!$B$7:$B$36,2026)</x:f>
        <x:v>1</x:v>
      </x:c>
    </x:row>
    <x:row r="8">
      <x:c r="A8" s="10" t="str">
        <x:v>Authentication logic</x:v>
      </x:c>
      <x:c r="B8" s="11" t="n">
        <x:f>COUNTIF('Verified CVEs'!$A$7:$A$36,A8)</x:f>
        <x:v>5</x:v>
      </x:c>
      <x:c r="C8" s="11" t="n">
        <x:f>COUNTIFS('Verified CVEs'!$A$7:$A$36,$A8,'Verified CVEs'!$B$7:$B$36,2023)</x:f>
        <x:v>2</x:v>
      </x:c>
      <x:c r="D8" s="11" t="n">
        <x:f>COUNTIFS('Verified CVEs'!$A$7:$A$36,$A8,'Verified CVEs'!$B$7:$B$36,2024)</x:f>
        <x:v>1</x:v>
      </x:c>
      <x:c r="E8" s="11" t="n">
        <x:f>COUNTIFS('Verified CVEs'!$A$7:$A$36,$A8,'Verified CVEs'!$B$7:$B$36,2025)</x:f>
        <x:v>1</x:v>
      </x:c>
      <x:c r="F8" s="11" t="n">
        <x:f>COUNTIFS('Verified CVEs'!$A$7:$A$36,$A8,'Verified CVEs'!$B$7:$B$36,2026)</x:f>
        <x:v>1</x:v>
      </x:c>
    </x:row>
    <x:row r="9">
      <x:c r="A9" s="10" t="str">
        <x:v>Business logic flaws</x:v>
      </x:c>
      <x:c r="B9" s="11" t="n">
        <x:f>COUNTIF('Verified CVEs'!$A$7:$A$36,A9)</x:f>
        <x:v>5</x:v>
      </x:c>
      <x:c r="C9" s="11" t="n">
        <x:f>COUNTIFS('Verified CVEs'!$A$7:$A$36,$A9,'Verified CVEs'!$B$7:$B$36,2023)</x:f>
        <x:v>2</x:v>
      </x:c>
      <x:c r="D9" s="11" t="n">
        <x:f>COUNTIFS('Verified CVEs'!$A$7:$A$36,$A9,'Verified CVEs'!$B$7:$B$36,2024)</x:f>
        <x:v>1</x:v>
      </x:c>
      <x:c r="E9" s="11" t="n">
        <x:f>COUNTIFS('Verified CVEs'!$A$7:$A$36,$A9,'Verified CVEs'!$B$7:$B$36,2025)</x:f>
        <x:v>1</x:v>
      </x:c>
      <x:c r="F9" s="11" t="n">
        <x:f>COUNTIFS('Verified CVEs'!$A$7:$A$36,$A9,'Verified CVEs'!$B$7:$B$36,2026)</x:f>
        <x:v>1</x:v>
      </x:c>
    </x:row>
    <x:row r="10">
      <x:c r="A10" s="10" t="str">
        <x:v>State machine errors</x:v>
      </x:c>
      <x:c r="B10" s="11" t="n">
        <x:f>COUNTIF('Verified CVEs'!$A$7:$A$36,A10)</x:f>
        <x:v>5</x:v>
      </x:c>
      <x:c r="C10" s="11" t="n">
        <x:f>COUNTIFS('Verified CVEs'!$A$7:$A$36,$A10,'Verified CVEs'!$B$7:$B$36,2023)</x:f>
        <x:v>2</x:v>
      </x:c>
      <x:c r="D10" s="11" t="n">
        <x:f>COUNTIFS('Verified CVEs'!$A$7:$A$36,$A10,'Verified CVEs'!$B$7:$B$36,2024)</x:f>
        <x:v>1</x:v>
      </x:c>
      <x:c r="E10" s="11" t="n">
        <x:f>COUNTIFS('Verified CVEs'!$A$7:$A$36,$A10,'Verified CVEs'!$B$7:$B$36,2025)</x:f>
        <x:v>1</x:v>
      </x:c>
      <x:c r="F10" s="11" t="n">
        <x:f>COUNTIFS('Verified CVEs'!$A$7:$A$36,$A10,'Verified CVEs'!$B$7:$B$36,2026)</x:f>
        <x:v>1</x:v>
      </x:c>
    </x:row>
    <x:row r="11">
      <x:c r="A11" s="10" t="str">
        <x:v>Trust boundary errors</x:v>
      </x:c>
      <x:c r="B11" s="11" t="n">
        <x:f>COUNTIF('Verified CVEs'!$A$7:$A$36,A11)</x:f>
        <x:v>5</x:v>
      </x:c>
      <x:c r="C11" s="11" t="n">
        <x:f>COUNTIFS('Verified CVEs'!$A$7:$A$36,$A11,'Verified CVEs'!$B$7:$B$36,2023)</x:f>
        <x:v>2</x:v>
      </x:c>
      <x:c r="D11" s="11" t="n">
        <x:f>COUNTIFS('Verified CVEs'!$A$7:$A$36,$A11,'Verified CVEs'!$B$7:$B$36,2024)</x:f>
        <x:v>1</x:v>
      </x:c>
      <x:c r="E11" s="11" t="n">
        <x:f>COUNTIFS('Verified CVEs'!$A$7:$A$36,$A11,'Verified CVEs'!$B$7:$B$36,2025)</x:f>
        <x:v>1</x:v>
      </x:c>
      <x:c r="F11" s="11" t="n">
        <x:f>COUNTIFS('Verified CVEs'!$A$7:$A$36,$A11,'Verified CVEs'!$B$7:$B$36,2026)</x:f>
        <x:v>1</x:v>
      </x:c>
    </x:row>
    <x:row r="12">
      <x:c r="A12" s="10" t="str">
        <x:v>Certificate validation errors</x:v>
      </x:c>
      <x:c r="B12" s="11" t="n">
        <x:f>COUNTIF('Verified CVEs'!$A$7:$A$36,A12)</x:f>
        <x:v>5</x:v>
      </x:c>
      <x:c r="C12" s="11" t="n">
        <x:f>COUNTIFS('Verified CVEs'!$A$7:$A$36,$A12,'Verified CVEs'!$B$7:$B$36,2023)</x:f>
        <x:v>2</x:v>
      </x:c>
      <x:c r="D12" s="11" t="n">
        <x:f>COUNTIFS('Verified CVEs'!$A$7:$A$36,$A12,'Verified CVEs'!$B$7:$B$36,2024)</x:f>
        <x:v>1</x:v>
      </x:c>
      <x:c r="E12" s="11" t="n">
        <x:f>COUNTIFS('Verified CVEs'!$A$7:$A$36,$A12,'Verified CVEs'!$B$7:$B$36,2025)</x:f>
        <x:v>1</x:v>
      </x:c>
      <x:c r="F12" s="11" t="n">
        <x:f>COUNTIFS('Verified CVEs'!$A$7:$A$36,$A12,'Verified CVEs'!$B$7:$B$36,2026)</x:f>
        <x:v>1</x:v>
      </x:c>
    </x:row>
    <x:row r="14" ht="28" customHeight="1">
      <x:c r="A14" s="14" t="str">
        <x:v>All 30 selections are marked high confidence in the prior semantic triage. Source URLs are included in the detailed sheet for direct review.</x:v>
      </x:c>
      <x:c r="B14" s="14"/>
      <x:c r="C14" s="14"/>
      <x:c r="D14" s="14"/>
      <x:c r="E14" s="14"/>
      <x:c r="F14" s="14"/>
    </x:row>
  </x:sheetData>
  <x:mergeCells>
    <x:mergeCell ref="A1:F1"/>
    <x:mergeCell ref="A3:F3"/>
    <x:mergeCell ref="A4:F4"/>
    <x:mergeCell ref="A14:F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9" hidden="0" customWidth="1"/>
    <x:col min="3" max="3" width="16" hidden="0" customWidth="1"/>
    <x:col min="4" max="4" width="17" hidden="0" customWidth="1"/>
    <x:col min="5" max="5" width="33" hidden="0" customWidth="1"/>
    <x:col min="6" max="6" width="55" hidden="0" customWidth="1"/>
    <x:col min="7" max="7" width="16" hidden="0" customWidth="1"/>
    <x:col min="8" max="8" width="16" hidden="0" customWidth="1"/>
    <x:col min="9" max="9" width="42" hidden="0" customWidth="1"/>
    <x:col min="10" max="10" width="52" hidden="0" customWidth="1"/>
    <x:col min="11" max="11" width="52" hidden="0" customWidth="1"/>
    <x:col min="12" max="12" width="14" hidden="0" customWidth="1"/>
  </x:cols>
  <x:sheetData>
    <x:row r="1" ht="28" customHeight="1">
      <x:c r="A1" s="16" t="str">
        <x:v>Verified Public Vulnerable-Code and Fix References</x:v>
      </x:c>
      <x:c r="B1" s="16"/>
      <x:c r="C1" s="16"/>
      <x:c r="D1" s="16"/>
      <x:c r="E1" s="16"/>
      <x:c r="F1" s="16"/>
      <x:c r="G1" s="16"/>
      <x:c r="H1" s="16"/>
      <x:c r="I1" s="16"/>
      <x:c r="J1" s="16"/>
      <x:c r="K1" s="16"/>
      <x:c r="L1" s="16"/>
    </x:row>
    <x:row r="3" ht="30" customHeight="1">
      <x:c r="A3" s="18" t="str">
        <x:v>Each row includes the public commit/PR cited in its CVE record. Review the parent/pre-fix revision and the linked diff to compare vulnerable and remediated code.</x:v>
      </x:c>
      <x:c r="B3" s="18"/>
      <x:c r="C3" s="18"/>
      <x:c r="D3" s="18"/>
      <x:c r="E3" s="18"/>
      <x:c r="F3" s="18"/>
      <x:c r="G3" s="18"/>
      <x:c r="H3" s="18"/>
      <x:c r="I3" s="18"/>
      <x:c r="J3" s="18"/>
      <x:c r="K3" s="18"/>
      <x:c r="L3" s="18"/>
    </x:row>
    <x:row r="6" ht="36" customHeight="1">
      <x:c r="A6" s="25" t="str">
        <x:v>Category</x:v>
      </x:c>
      <x:c r="B6" s="25" t="str">
        <x:v>Year</x:v>
      </x:c>
      <x:c r="C6" s="25" t="str">
        <x:v>CVE</x:v>
      </x:c>
      <x:c r="D6" s="25" t="str">
        <x:v>CWE</x:v>
      </x:c>
      <x:c r="E6" s="25" t="str">
        <x:v>Title</x:v>
      </x:c>
      <x:c r="F6" s="25" t="str">
        <x:v>Description</x:v>
      </x:c>
      <x:c r="G6" s="25" t="str">
        <x:v>Public vulnerable code</x:v>
      </x:c>
      <x:c r="H6" s="25" t="str">
        <x:v>Public fix</x:v>
      </x:c>
      <x:c r="I6" s="25" t="str">
        <x:v>Evidence</x:v>
      </x:c>
      <x:c r="J6" s="25" t="str">
        <x:v>Public commit or PR</x:v>
      </x:c>
      <x:c r="K6" s="25" t="str">
        <x:v>CVE record</x:v>
      </x:c>
      <x:c r="L6" s="25" t="str">
        <x:v>Verified date</x:v>
      </x:c>
    </x:row>
    <x:row r="7" ht="72" customHeight="1">
      <x:c r="A7" s="26" t="str">
        <x:v>Authorization errors</x:v>
      </x:c>
      <x:c r="B7" s="26" t="n">
        <x:v>2023</x:v>
      </x:c>
      <x:c r="C7" s="26" t="str">
        <x:v>CVE-2023-0240</x:v>
      </x:c>
      <x:c r="D7" s="26" t="str">
        <x:v>Not specified in record</x:v>
      </x:c>
      <x:c r="E7" s="26" t="str">
        <x:v>Use after free in io_uring in the Linux Kernel</x:v>
      </x:c>
      <x:c r="F7" s="26" t="str">
        <x:v>There is a logic error in io_uring's implementation which can be used to trigger a use-after-free vulnerability leading to privilege escalation.
In the io_prep_async_work function the assumption that the last io_grab_identity call cannot return false is not true, and in this case the function will use the init_cred or the previous linked requests identity to do operations instead of using the current identity. This can lead to reference counting issues causing use-after-free. We recommend upgrading past version 5.10.161.</x:v>
      </x:c>
      <x:c r="G7" s="27" t="str">
        <x:v>Yes</x:v>
      </x:c>
      <x:c r="H7" s="27" t="str">
        <x:v>Yes</x:v>
      </x:c>
      <x:c r="I7" s="26" t="str">
        <x:v>The CVE record links this public commit/PR. Its publicly visible parent/pre-change revision provides the vulnerable code; the commit/PR diff provides the remediation.</x:v>
      </x:c>
      <x:c r="J7" s="26" t="str">
        <x:v>https://github.com/gregkh/linux/commit/1e6fa5216a0e59ef02e8b6b40d553238a3b81d49</x:v>
      </x:c>
      <x:c r="K7" s="26" t="str">
        <x:v>https://www.cve.org/CVERecord?id=CVE-2023-0240</x:v>
      </x:c>
      <x:c r="L7" s="26" t="str">
        <x:v>2026-07-23</x:v>
      </x:c>
    </x:row>
    <x:row r="8" ht="72" customHeight="1">
      <x:c r="A8" s="26" t="str">
        <x:v>Authorization errors</x:v>
      </x:c>
      <x:c r="B8" s="26" t="n">
        <x:v>2024</x:v>
      </x:c>
      <x:c r="C8" s="26" t="str">
        <x:v>CVE-2024-0439</x:v>
      </x:c>
      <x:c r="D8" s="26" t="str">
        <x:v>CWE-269</x:v>
      </x:c>
      <x:c r="E8" s="26" t="str">
        <x:v>User can manually send request at manager permission to modify system configurations</x:v>
      </x:c>
      <x:c r="F8" s="26" t="str">
        <x:v>As a manager, you should not be able to modify a series of settings. In the UI this is indeed hidden as a convenience for the role since most managers would not be savvy enough to modify these settings. They can use their token to still modify those settings though through a standard HTTP request
While this is not a critical vulnerability, it does indeed need to be patched to enforce the expected permission level.</x:v>
      </x:c>
      <x:c r="G8" s="27" t="str">
        <x:v>Yes</x:v>
      </x:c>
      <x:c r="H8" s="27" t="str">
        <x:v>Yes</x:v>
      </x:c>
      <x:c r="I8" s="26" t="str">
        <x:v>The CVE record links this public commit/PR. Its publicly visible parent/pre-change revision provides the vulnerable code; the commit/PR diff provides the remediation.</x:v>
      </x:c>
      <x:c r="J8" s="26" t="str">
        <x:v>https://github.com/mintplex-labs/anything-llm/commit/7200a06ef07d92eef5f3c4c8be29824aa001d688</x:v>
      </x:c>
      <x:c r="K8" s="26" t="str">
        <x:v>https://www.cve.org/CVERecord?id=CVE-2024-0439</x:v>
      </x:c>
      <x:c r="L8" s="26" t="str">
        <x:v>2026-07-23</x:v>
      </x:c>
    </x:row>
    <x:row r="9" ht="72" customHeight="1">
      <x:c r="A9" s="26" t="str">
        <x:v>Authorization errors</x:v>
      </x:c>
      <x:c r="B9" s="26" t="n">
        <x:v>2025</x:v>
      </x:c>
      <x:c r="C9" s="26" t="str">
        <x:v>CVE-2025-0628</x:v>
      </x:c>
      <x:c r="D9" s="26" t="str">
        <x:v>CWE-266</x:v>
      </x:c>
      <x:c r="E9" s="26" t="str">
        <x:v>Improper Authorization in BerriAI/litellm</x:v>
      </x:c>
      <x:c r="F9" s="26" t="str">
        <x:v>An improper authorization vulnerability exists in the main-latest version of BerriAI/litellm. When a user with the role 'internal_user_viewer' logs into the application, they are provided with an overly privileged API key. This key can be used to access all the admin functionality of the application, including endpoints such as '/users/list' and '/users/get_users'. This vulnerability allows for privilege escalation within the application, enabling any account to become a PROXY ADMIN.</x:v>
      </x:c>
      <x:c r="G9" s="27" t="str">
        <x:v>Yes</x:v>
      </x:c>
      <x:c r="H9" s="27" t="str">
        <x:v>Yes</x:v>
      </x:c>
      <x:c r="I9" s="26" t="str">
        <x:v>The CVE record links this public commit/PR. Its publicly visible parent/pre-change revision provides the vulnerable code; the commit/PR diff provides the remediation.</x:v>
      </x:c>
      <x:c r="J9" s="26" t="str">
        <x:v>https://github.com/berriai/litellm/commit/566d9354aab4215091b2e51ad0333e948125fa1b</x:v>
      </x:c>
      <x:c r="K9" s="26" t="str">
        <x:v>https://www.cve.org/CVERecord?id=CVE-2025-0628</x:v>
      </x:c>
      <x:c r="L9" s="26" t="str">
        <x:v>2026-07-23</x:v>
      </x:c>
    </x:row>
    <x:row r="10" ht="72" customHeight="1">
      <x:c r="A10" s="26" t="str">
        <x:v>Authorization errors</x:v>
      </x:c>
      <x:c r="B10" s="26" t="n">
        <x:v>2026</x:v>
      </x:c>
      <x:c r="C10" s="26" t="str">
        <x:v>CVE-2026-0562</x:v>
      </x:c>
      <x:c r="D10" s="26" t="str">
        <x:v>CWE-863</x:v>
      </x:c>
      <x:c r="E10" s="26" t="str">
        <x:v>Insecure Direct Object Reference (IDOR) in parisneo/lollms</x:v>
      </x:c>
      <x:c r="F10" s="26" t="str">
        <x:v>A critical security vulnerability in parisneo/lollms versions up to 2.2.0 allows any authenticated user to accept or reject friend requests belonging to other users. The `respond_request()` function in `backend/routers/friends.py` does not implement proper authorization checks, enabling Insecure Direct Object Reference (IDOR) attacks. Specifically, the `/api/friends/requests/{friendship_id}` endpoint fails to verify whether the authenticated user is part of the friendship or the intended recipient of the request. This vulnerability can lead to unauthorized access, privacy violations, and potential social engineering attacks. The issue has been addressed in version 2.2.0.</x:v>
      </x:c>
      <x:c r="G10" s="27" t="str">
        <x:v>Yes</x:v>
      </x:c>
      <x:c r="H10" s="27" t="str">
        <x:v>Yes</x:v>
      </x:c>
      <x:c r="I10" s="26" t="str">
        <x:v>The CVE record links this public commit/PR. Its publicly visible parent/pre-change revision provides the vulnerable code; the commit/PR diff provides the remediation.</x:v>
      </x:c>
      <x:c r="J10" s="26" t="str">
        <x:v>https://github.com/parisneo/lollms/commit/c46297799f8e1e23305373f8350746b905e0e83c</x:v>
      </x:c>
      <x:c r="K10" s="26" t="str">
        <x:v>https://www.cve.org/CVERecord?id=CVE-2026-0562</x:v>
      </x:c>
      <x:c r="L10" s="26" t="str">
        <x:v>2026-07-23</x:v>
      </x:c>
    </x:row>
    <x:row r="11" ht="72" customHeight="1">
      <x:c r="A11" s="26" t="str">
        <x:v>Authorization errors</x:v>
      </x:c>
      <x:c r="B11" s="26" t="n">
        <x:v>2023</x:v>
      </x:c>
      <x:c r="C11" s="26" t="str">
        <x:v>CVE-2023-0298</x:v>
      </x:c>
      <x:c r="D11" s="26" t="str">
        <x:v>CWE-863</x:v>
      </x:c>
      <x:c r="E11" s="26" t="str">
        <x:v>Incorrect Authorization in firefly-iii/firefly-iii</x:v>
      </x:c>
      <x:c r="F11" s="26" t="str">
        <x:v>Incorrect Authorization in GitHub repository firefly-iii/firefly-iii prior to 5.8.0.</x:v>
      </x:c>
      <x:c r="G11" s="27" t="str">
        <x:v>Yes</x:v>
      </x:c>
      <x:c r="H11" s="27" t="str">
        <x:v>Yes</x:v>
      </x:c>
      <x:c r="I11" s="26" t="str">
        <x:v>The CVE record links this public commit/PR. Its publicly visible parent/pre-change revision provides the vulnerable code; the commit/PR diff provides the remediation.</x:v>
      </x:c>
      <x:c r="J11" s="26" t="str">
        <x:v>https://github.com/firefly-iii/firefly-iii/commit/db0500dcf0d4f1990fc7a377ef0d56c3884fcaa4</x:v>
      </x:c>
      <x:c r="K11" s="26" t="str">
        <x:v>https://www.cve.org/CVERecord?id=CVE-2023-0298</x:v>
      </x:c>
      <x:c r="L11" s="26" t="str">
        <x:v>2026-07-23</x:v>
      </x:c>
    </x:row>
    <x:row r="12" ht="72" customHeight="1">
      <x:c r="A12" s="26" t="str">
        <x:v>Authentication logic</x:v>
      </x:c>
      <x:c r="B12" s="26" t="n">
        <x:v>2023</x:v>
      </x:c>
      <x:c r="C12" s="26" t="str">
        <x:v>CVE-2023-0311</x:v>
      </x:c>
      <x:c r="D12" s="26" t="str">
        <x:v>CWE-287</x:v>
      </x:c>
      <x:c r="E12" s="26" t="str">
        <x:v>Improper Authentication in thorsten/phpmyfaq</x:v>
      </x:c>
      <x:c r="F12" s="26" t="str">
        <x:v>Improper Authentication in GitHub repository thorsten/phpmyfaq prior to 3.1.10.</x:v>
      </x:c>
      <x:c r="G12" s="27" t="str">
        <x:v>Yes</x:v>
      </x:c>
      <x:c r="H12" s="27" t="str">
        <x:v>Yes</x:v>
      </x:c>
      <x:c r="I12" s="26" t="str">
        <x:v>The CVE record links this public commit/PR. Its publicly visible parent/pre-change revision provides the vulnerable code; the commit/PR diff provides the remediation.</x:v>
      </x:c>
      <x:c r="J12" s="26" t="str">
        <x:v>https://github.com/thorsten/phpmyfaq/commit/fe6e9f02ef1b26a03134b9becda12687ee5f3214</x:v>
      </x:c>
      <x:c r="K12" s="26" t="str">
        <x:v>https://www.cve.org/CVERecord?id=CVE-2023-0311</x:v>
      </x:c>
      <x:c r="L12" s="26" t="str">
        <x:v>2026-07-23</x:v>
      </x:c>
    </x:row>
    <x:row r="13" ht="72" customHeight="1">
      <x:c r="A13" s="26" t="str">
        <x:v>Authentication logic</x:v>
      </x:c>
      <x:c r="B13" s="26" t="n">
        <x:v>2024</x:v>
      </x:c>
      <x:c r="C13" s="26" t="str">
        <x:v>CVE-2024-0879</x:v>
      </x:c>
      <x:c r="D13" s="26" t="str">
        <x:v>CWE-287</x:v>
      </x:c>
      <x:c r="E13" s="26" t="str">
        <x:v>Authentication bypass in vector-admin domain restriction</x:v>
      </x:c>
      <x:c r="F13" s="26" t="str">
        <x:v>
Authentication bypass in vector-admin allows a user to register to a vector-admin server while “domain restriction” is active, even when not owning an authorized email address.
</x:v>
      </x:c>
      <x:c r="G13" s="27" t="str">
        <x:v>Yes</x:v>
      </x:c>
      <x:c r="H13" s="27" t="str">
        <x:v>Yes</x:v>
      </x:c>
      <x:c r="I13" s="26" t="str">
        <x:v>The CVE record links this public commit/PR. Its publicly visible parent/pre-change revision provides the vulnerable code; the commit/PR diff provides the remediation.</x:v>
      </x:c>
      <x:c r="J13" s="26" t="str">
        <x:v>https://github.com/Mintplex-Labs/vector-admin/pull/128/commits/a581b8177dd6be719a5ef6d3ce4b1e939636bb41</x:v>
      </x:c>
      <x:c r="K13" s="26" t="str">
        <x:v>https://www.cve.org/CVERecord?id=CVE-2024-0879</x:v>
      </x:c>
      <x:c r="L13" s="26" t="str">
        <x:v>2026-07-23</x:v>
      </x:c>
    </x:row>
    <x:row r="14" ht="72" customHeight="1">
      <x:c r="A14" s="26" t="str">
        <x:v>Authentication logic</x:v>
      </x:c>
      <x:c r="B14" s="26" t="n">
        <x:v>2025</x:v>
      </x:c>
      <x:c r="C14" s="26" t="str">
        <x:v>CVE-2025-11529</x:v>
      </x:c>
      <x:c r="D14" s="26" t="str">
        <x:v>CWE-287;CWE-306</x:v>
      </x:c>
      <x:c r="E14" s="26" t="str">
        <x:v>ChurchCRM API Endpoint AuthMiddleware.php AuthMiddleware missing authentication</x:v>
      </x:c>
      <x:c r="F14" s="26" t="str">
        <x:v>A security flaw has been discovered in ChurchCRM up to 5.18.0. This impacts the function AuthMiddleware of the file src/ChurchCRM/Slim/Middleware/AuthMiddleware.php of the component API Endpoint. The manipulation results in missing authentication. The attack can be executed remotely. The exploit has been released to the public and may be used for attacks. The patch is identified as 3a1cffd2aea63d884025949cfbcfd274d06216a4. A patch should be applied to remediate this issue.</x:v>
      </x:c>
      <x:c r="G14" s="27" t="str">
        <x:v>Yes</x:v>
      </x:c>
      <x:c r="H14" s="27" t="str">
        <x:v>Yes</x:v>
      </x:c>
      <x:c r="I14" s="26" t="str">
        <x:v>The CVE record links this public commit/PR. Its publicly visible parent/pre-change revision provides the vulnerable code; the commit/PR diff provides the remediation.</x:v>
      </x:c>
      <x:c r="J14" s="26" t="str">
        <x:v>https://github.com/ChurchCRM/CRM/commit/3a1cffd2aea63d884025949cfbcfd274d06216a4</x:v>
      </x:c>
      <x:c r="K14" s="26" t="str">
        <x:v>https://www.cve.org/CVERecord?id=CVE-2025-11529</x:v>
      </x:c>
      <x:c r="L14" s="26" t="str">
        <x:v>2026-07-23</x:v>
      </x:c>
    </x:row>
    <x:row r="15" ht="72" customHeight="1">
      <x:c r="A15" s="26" t="str">
        <x:v>Authentication logic</x:v>
      </x:c>
      <x:c r="B15" s="26" t="n">
        <x:v>2026</x:v>
      </x:c>
      <x:c r="C15" s="26" t="str">
        <x:v>CVE-2026-0558</x:v>
      </x:c>
      <x:c r="D15" s="26" t="str">
        <x:v>CWE-287</x:v>
      </x:c>
      <x:c r="E15" s="26" t="str">
        <x:v>Unauthenticated File Upload in parisneo/lollms</x:v>
      </x:c>
      <x:c r="F15" s="26" t="str">
        <x:v>A vulnerability in parisneo/lollms, up to and including version 2.2.0, allows unauthenticated users to upload and process files through the `/api/files/extract-text` endpoint. This endpoint does not enforce authentication, unlike other file-related endpoints, and lacks the `Depends(get_current_active_user)` dependency. This issue can lead to denial of service (DoS) through resource exhaustion, information disclosure, and violation of the application's documented security policies.</x:v>
      </x:c>
      <x:c r="G15" s="27" t="str">
        <x:v>Yes</x:v>
      </x:c>
      <x:c r="H15" s="27" t="str">
        <x:v>Yes</x:v>
      </x:c>
      <x:c r="I15" s="26" t="str">
        <x:v>The CVE record links this public commit/PR. Its publicly visible parent/pre-change revision provides the vulnerable code; the commit/PR diff provides the remediation.</x:v>
      </x:c>
      <x:c r="J15" s="26" t="str">
        <x:v>https://github.com/parisneo/lollms/commit/a6625dc83786ff21d109b0d545ca61b770607ef3</x:v>
      </x:c>
      <x:c r="K15" s="26" t="str">
        <x:v>https://www.cve.org/CVERecord?id=CVE-2026-0558</x:v>
      </x:c>
      <x:c r="L15" s="26" t="str">
        <x:v>2026-07-23</x:v>
      </x:c>
    </x:row>
    <x:row r="16" ht="72" customHeight="1">
      <x:c r="A16" s="26" t="str">
        <x:v>Authentication logic</x:v>
      </x:c>
      <x:c r="B16" s="26" t="n">
        <x:v>2023</x:v>
      </x:c>
      <x:c r="C16" s="26" t="str">
        <x:v>CVE-2023-0919</x:v>
      </x:c>
      <x:c r="D16" s="26" t="str">
        <x:v>CWE-306</x:v>
      </x:c>
      <x:c r="E16" s="26" t="str">
        <x:v>Missing Authentication for Critical Function in kareadita/kavita</x:v>
      </x:c>
      <x:c r="F16" s="26" t="str">
        <x:v>Missing Authentication for Critical Function in GitHub repository kareadita/kavita prior to 0.7.0.</x:v>
      </x:c>
      <x:c r="G16" s="27" t="str">
        <x:v>Yes</x:v>
      </x:c>
      <x:c r="H16" s="27" t="str">
        <x:v>Yes</x:v>
      </x:c>
      <x:c r="I16" s="26" t="str">
        <x:v>The CVE record links this public commit/PR. Its publicly visible parent/pre-change revision provides the vulnerable code; the commit/PR diff provides the remediation.</x:v>
      </x:c>
      <x:c r="J16" s="26" t="str">
        <x:v>https://github.com/Kareadita/Kavita/pull/1748/commits/6648b79e1b2f92449d5816d0722b7a3d72f259d5</x:v>
      </x:c>
      <x:c r="K16" s="26" t="str">
        <x:v>https://www.cve.org/CVERecord?id=CVE-2023-0919</x:v>
      </x:c>
      <x:c r="L16" s="26" t="str">
        <x:v>2026-07-23</x:v>
      </x:c>
    </x:row>
    <x:row r="17" ht="72" customHeight="1">
      <x:c r="A17" s="26" t="str">
        <x:v>Business logic flaws</x:v>
      </x:c>
      <x:c r="B17" s="26" t="n">
        <x:v>2023</x:v>
      </x:c>
      <x:c r="C17" s="26" t="str">
        <x:v>CVE-2023-0240</x:v>
      </x:c>
      <x:c r="D17" s="26" t="str">
        <x:v>Not specified in record</x:v>
      </x:c>
      <x:c r="E17" s="26" t="str">
        <x:v>Use after free in io_uring in the Linux Kernel</x:v>
      </x:c>
      <x:c r="F17" s="26" t="str">
        <x:v>There is a logic error in io_uring's implementation which can be used to trigger a use-after-free vulnerability leading to privilege escalation.
In the io_prep_async_work function the assumption that the last io_grab_identity call cannot return false is not true, and in this case the function will use the init_cred or the previous linked requests identity to do operations instead of using the current identity. This can lead to reference counting issues causing use-after-free. We recommend upgrading past version 5.10.161.</x:v>
      </x:c>
      <x:c r="G17" s="27" t="str">
        <x:v>Yes</x:v>
      </x:c>
      <x:c r="H17" s="27" t="str">
        <x:v>Yes</x:v>
      </x:c>
      <x:c r="I17" s="26" t="str">
        <x:v>The CVE record links this public commit/PR. Its publicly visible parent/pre-change revision provides the vulnerable code; the commit/PR diff provides the remediation.</x:v>
      </x:c>
      <x:c r="J17" s="26" t="str">
        <x:v>https://github.com/gregkh/linux/commit/1e6fa5216a0e59ef02e8b6b40d553238a3b81d49</x:v>
      </x:c>
      <x:c r="K17" s="26" t="str">
        <x:v>https://www.cve.org/CVERecord?id=CVE-2023-0240</x:v>
      </x:c>
      <x:c r="L17" s="26" t="str">
        <x:v>2026-07-23</x:v>
      </x:c>
    </x:row>
    <x:row r="18" ht="72" customHeight="1">
      <x:c r="A18" s="26" t="str">
        <x:v>Business logic flaws</x:v>
      </x:c>
      <x:c r="B18" s="26" t="n">
        <x:v>2024</x:v>
      </x:c>
      <x:c r="C18" s="26" t="str">
        <x:v>CVE-2024-1682</x:v>
      </x:c>
      <x:c r="D18" s="26" t="str">
        <x:v>Not specified in record</x:v>
      </x:c>
      <x:c r="E18" s="26" t="str">
        <x:v>Unclaimed S3 Bucket Reference in psf/requests Documentation</x:v>
      </x:c>
      <x:c r="F18" s="26" t="str">
        <x:v>An unclaimed Amazon S3 bucket, 'codeconf', is referenced in an audio file link within the .rst documentation file. This bucket has been claimed by an external party. The use of this unclaimed S3 bucket could lead to data integrity issues, data leakage, availability problems, loss of trustworthiness, and potential further attacks if the bucket is used to host malicious content or as a pivot point for further attacks.</x:v>
      </x:c>
      <x:c r="G18" s="27" t="str">
        <x:v>Yes</x:v>
      </x:c>
      <x:c r="H18" s="27" t="str">
        <x:v>Yes</x:v>
      </x:c>
      <x:c r="I18" s="26" t="str">
        <x:v>The CVE record links this public commit/PR. Its publicly visible parent/pre-change revision provides the vulnerable code; the commit/PR diff provides the remediation.</x:v>
      </x:c>
      <x:c r="J18" s="26" t="str">
        <x:v>https://github.com/psf/requests/commit/6106a63eb6c0fa490efa73d44388ac25b1b08af4</x:v>
      </x:c>
      <x:c r="K18" s="26" t="str">
        <x:v>https://www.cve.org/CVERecord?id=CVE-2024-1682</x:v>
      </x:c>
      <x:c r="L18" s="26" t="str">
        <x:v>2026-07-23</x:v>
      </x:c>
    </x:row>
    <x:row r="19" ht="72" customHeight="1">
      <x:c r="A19" s="26" t="str">
        <x:v>Business logic flaws</x:v>
      </x:c>
      <x:c r="B19" s="26" t="n">
        <x:v>2025</x:v>
      </x:c>
      <x:c r="C19" s="26" t="str">
        <x:v>CVE-2025-11429</x:v>
      </x:c>
      <x:c r="D19" s="26" t="str">
        <x:v>Not specified in record</x:v>
      </x:c>
      <x:c r="E19" s="26" t="str">
        <x:v>Keycloak-server: too long and not settings compliant session</x:v>
      </x:c>
      <x:c r="F19" s="26" t="str">
        <x:v>A flaw was found in Keycloak. Keycloak does not immediately enforce the disabling of the "Remember Me" realm setting on existing user sessions. Sessions created while "Remember Me" was active retain their extended session lifetime until they expire, overriding the administrator's recent security configuration change. This is a logic flaw in session management increases the potential window for successful session hijacking or unauthorized long-term access persistence. The flaw lies in the session expiration logic relying on the session-local "remember-me" flag without validating the current realm-level configuration.</x:v>
      </x:c>
      <x:c r="G19" s="27" t="str">
        <x:v>Yes</x:v>
      </x:c>
      <x:c r="H19" s="27" t="str">
        <x:v>Yes</x:v>
      </x:c>
      <x:c r="I19" s="26" t="str">
        <x:v>The CVE record links this public commit/PR. Its publicly visible parent/pre-change revision provides the vulnerable code; the commit/PR diff provides the remediation.</x:v>
      </x:c>
      <x:c r="J19" s="26" t="str">
        <x:v>https://github.com/keycloak/keycloak/commit/a34094100716b7c69ae38eaed6678ab4344d0a1d</x:v>
      </x:c>
      <x:c r="K19" s="26" t="str">
        <x:v>https://www.cve.org/CVERecord?id=CVE-2025-11429</x:v>
      </x:c>
      <x:c r="L19" s="26" t="str">
        <x:v>2026-07-23</x:v>
      </x:c>
    </x:row>
    <x:row r="20" ht="72" customHeight="1">
      <x:c r="A20" s="26" t="str">
        <x:v>Business logic flaws</x:v>
      </x:c>
      <x:c r="B20" s="26" t="n">
        <x:v>2026</x:v>
      </x:c>
      <x:c r="C20" s="26" t="str">
        <x:v>CVE-2026-10097</x:v>
      </x:c>
      <x:c r="D20" s="26" t="str">
        <x:v>Not specified in record</x:v>
      </x:c>
      <x:c r="E20" s="26" t="str">
        <x:v>ML-KEM-1024 x64 AVX2 incomplete cipher text comparison enables IND-CCA2 break and static private-key recovery</x:v>
      </x:c>
      <x:c r="F20" s="26" t="str">
        <x:v>wolfSSL's AVX2-optimized ML-KEM implementation (mlkem_cmp_avx2) compares only 1536 of the 1568 ciphertext bytes during the Fujisaki-Okamoto re-encryption check in ML-KEM-1024 decapsulation. Ciphertexts that differ from the expected re-encryption solely in bytes 1536-1567 bypass implicit rejection and are accepted as valid, breaking IND-CCA2 security. An attacker able to submit chosen ciphertexts to a decapsulation oracle that uses a static ML-KEM-1024 key, and to observe whether the genuine shared secret or the implicit-rejection secret was produced, can use this as a plaintext-checking oracle to recover the private key. A proof of concept recovered a full ML-KEM-1024 private key with approximately 98% success using roughly 350 chosen ciphertexts. The flaw is a deterministic logic error and does not rely on timing measurements.</x:v>
      </x:c>
      <x:c r="G20" s="27" t="str">
        <x:v>Yes</x:v>
      </x:c>
      <x:c r="H20" s="27" t="str">
        <x:v>Yes</x:v>
      </x:c>
      <x:c r="I20" s="26" t="str">
        <x:v>The CVE record links this public commit/PR. Its publicly visible parent/pre-change revision provides the vulnerable code; the commit/PR diff provides the remediation.</x:v>
      </x:c>
      <x:c r="J20" s="26" t="str">
        <x:v>https://github.com/wolfSSL/wolfssl/pull/10430</x:v>
      </x:c>
      <x:c r="K20" s="26" t="str">
        <x:v>https://www.cve.org/CVERecord?id=CVE-2026-10097</x:v>
      </x:c>
      <x:c r="L20" s="26" t="str">
        <x:v>2026-07-23</x:v>
      </x:c>
    </x:row>
    <x:row r="21" ht="72" customHeight="1">
      <x:c r="A21" s="26" t="str">
        <x:v>Business logic flaws</x:v>
      </x:c>
      <x:c r="B21" s="26" t="n">
        <x:v>2023</x:v>
      </x:c>
      <x:c r="C21" s="26" t="str">
        <x:v>CVE-2023-0565</x:v>
      </x:c>
      <x:c r="D21" s="26" t="str">
        <x:v>Not specified in record</x:v>
      </x:c>
      <x:c r="E21" s="26" t="str">
        <x:v>Business Logic Errors in froxlor/froxlor</x:v>
      </x:c>
      <x:c r="F21" s="26" t="str">
        <x:v>Business Logic Errors in GitHub repository froxlor/froxlor prior to 2.0.10.
</x:v>
      </x:c>
      <x:c r="G21" s="27" t="str">
        <x:v>Yes</x:v>
      </x:c>
      <x:c r="H21" s="27" t="str">
        <x:v>Yes</x:v>
      </x:c>
      <x:c r="I21" s="26" t="str">
        <x:v>The CVE record links this public commit/PR. Its publicly visible parent/pre-change revision provides the vulnerable code; the commit/PR diff provides the remediation.</x:v>
      </x:c>
      <x:c r="J21" s="26" t="str">
        <x:v>https://github.com/froxlor/froxlor/commit/2feb8020941a82bfb4ac68890f6ced0e5b3c4a15</x:v>
      </x:c>
      <x:c r="K21" s="26" t="str">
        <x:v>https://www.cve.org/CVERecord?id=CVE-2023-0565</x:v>
      </x:c>
      <x:c r="L21" s="26" t="str">
        <x:v>2026-07-23</x:v>
      </x:c>
    </x:row>
    <x:row r="22" ht="72" customHeight="1">
      <x:c r="A22" s="26" t="str">
        <x:v>State machine errors</x:v>
      </x:c>
      <x:c r="B22" s="26" t="n">
        <x:v>2023</x:v>
      </x:c>
      <x:c r="C22" s="26" t="str">
        <x:v>CVE-2023-34450</x:v>
      </x:c>
      <x:c r="D22" s="26" t="str">
        <x:v>Not specified in record</x:v>
      </x:c>
      <x:c r="E22" s="26" t="str">
        <x:v>CometBFT PeerState JSON serialization deadlock</x:v>
      </x:c>
      <x:c r="F22" s="26" t="str">
        <x:v>CometBFT is a Byzantine Fault Tolerant (BFT) middleware that takes a state transition machine and replicates it on many machines. An internal modification made in versions 0.34.28 and 0.37.1 to the way struct `PeerState` is serialized to JSON introduced a deadlock when new function MarshallJSON is called. This function can be called from two places. The first is via logs, setting the `consensus` logging module to "debug" level (should not happen in production), and setting the log output format to JSON. The second is via RPC `dump_consensus_state`.
Case 1, which should not be hit in production, will eventually hit the deadlock in most goroutines, effectively halting the node.
In case 2, only the data structures related to the first peer will be deadlocked, together with the thread(s) dealing with the RPC request(s). This means that only one of the channels of communication to the node's peers will be blocked. Eventually the peer will timeout and excluded from the list (typically after 2 minutes). The goroutines involved in the deadlock will not be garbage collected, but they will not interfere with the system after the peer is excluded.
The theoretical worst case for case 2, is a network with only two validator nodes. In this case, each of the nodes only has one `PeerState` struct. If `dump_consensus_state` is called in either node (or both), the chain will halt until the peer connections time out, after which the nodes will reconnect (with different `PeerState` structs) and the chain will progress again. Then, the same process can be repeated.
As the number of nodes in a network increases, and thus, the number of peer struct each node maintains, the possibility of reproducing the perturbation visible with two nodes decreases. Only the first `PeerState` struct will deadlock, and not the others (RPC `dump_consensus_state` accesses them in a for loop, so the deadlock at the first iteration causes the rest of the iterations of that "for" loop to never be reached).
This regression was fixed in versions 0.34.29 and 0.37.2. Some workarounds are available. For case 1 (hitting the deadlock via logs), either don't set the log output to "json", leave at "plain", or don't set the consensus logging module to "debug", leave it at "info" or higher. For case 2 (hitting the deadlock via RPC `dump_consensus_state`), do not expose `dump_consensus_state` RPC endpoint to the public internet (e.g., via rules in one's nginx setup).</x:v>
      </x:c>
      <x:c r="G22" s="27" t="str">
        <x:v>Yes</x:v>
      </x:c>
      <x:c r="H22" s="27" t="str">
        <x:v>Yes</x:v>
      </x:c>
      <x:c r="I22" s="26" t="str">
        <x:v>The CVE record links this public commit/PR. Its publicly visible parent/pre-change revision provides the vulnerable code; the commit/PR diff provides the remediation.</x:v>
      </x:c>
      <x:c r="J22" s="26" t="str">
        <x:v>https://github.com/cometbft/cometbft/pull/524</x:v>
      </x:c>
      <x:c r="K22" s="26" t="str">
        <x:v>https://www.cve.org/CVERecord?id=CVE-2023-34450</x:v>
      </x:c>
      <x:c r="L22" s="26" t="str">
        <x:v>2026-07-23</x:v>
      </x:c>
    </x:row>
    <x:row r="23" ht="72" customHeight="1">
      <x:c r="A23" s="26" t="str">
        <x:v>State machine errors</x:v>
      </x:c>
      <x:c r="B23" s="26" t="n">
        <x:v>2024</x:v>
      </x:c>
      <x:c r="C23" s="26" t="str">
        <x:v>CVE-2024-2873</x:v>
      </x:c>
      <x:c r="D23" s="26" t="str">
        <x:v>CWE-287</x:v>
      </x:c>
      <x:c r="E23" s="26" t="str">
        <x:v>User authentication bypass in wolfSSH server</x:v>
      </x:c>
      <x:c r="F23" s="26" t="str">
        <x:v>A vulnerability was found in wolfSSH's server-side state machine before versions 1.4.17. A malicious client could create channels without first performing user authentication, resulting in unauthorized access.
</x:v>
      </x:c>
      <x:c r="G23" s="27" t="str">
        <x:v>Yes</x:v>
      </x:c>
      <x:c r="H23" s="27" t="str">
        <x:v>Yes</x:v>
      </x:c>
      <x:c r="I23" s="26" t="str">
        <x:v>The CVE record links this public commit/PR. Its publicly visible parent/pre-change revision provides the vulnerable code; the commit/PR diff provides the remediation.</x:v>
      </x:c>
      <x:c r="J23" s="26" t="str">
        <x:v>https://github.com/wolfSSL/wolfssh/pull/670</x:v>
      </x:c>
      <x:c r="K23" s="26" t="str">
        <x:v>https://www.cve.org/CVERecord?id=CVE-2024-2873</x:v>
      </x:c>
      <x:c r="L23" s="26" t="str">
        <x:v>2026-07-23</x:v>
      </x:c>
    </x:row>
    <x:row r="24" ht="72" customHeight="1">
      <x:c r="A24" s="26" t="str">
        <x:v>State machine errors</x:v>
      </x:c>
      <x:c r="B24" s="26" t="n">
        <x:v>2025</x:v>
      </x:c>
      <x:c r="C24" s="26" t="str">
        <x:v>CVE-2025-14942</x:v>
      </x:c>
      <x:c r="D24" s="26" t="str">
        <x:v>CWE-287</x:v>
      </x:c>
      <x:c r="E24" s="26" t="str">
        <x:v>Authentication Bypass</x:v>
      </x:c>
      <x:c r="F24" s="26" t="str">
        <x:v>wolfSSH’s key exchange state machine can be manipulated to leak the client’s password in the clear, trick the client to send a bogus signature, or trick the client into skipping user authentication. This affects client applications with wolfSSH version 1.4.21 and earlier. Users of wolfSSH must update or apply the fix patch and it’s recommended to update credentials used. This fix is also recommended for wolfSSH server applications. While there aren’t any specific attacks on server applications, the same defect is present. Thanks to Aina Toky Rasoamanana of Valeo and Olivier Levillain of Telecom SudParis for the report.</x:v>
      </x:c>
      <x:c r="G24" s="27" t="str">
        <x:v>Yes</x:v>
      </x:c>
      <x:c r="H24" s="27" t="str">
        <x:v>Yes</x:v>
      </x:c>
      <x:c r="I24" s="26" t="str">
        <x:v>The CVE record links this public commit/PR. Its publicly visible parent/pre-change revision provides the vulnerable code; the commit/PR diff provides the remediation.</x:v>
      </x:c>
      <x:c r="J24" s="26" t="str">
        <x:v>https://github.com/wolfSSL/wolfssh/pull/855</x:v>
      </x:c>
      <x:c r="K24" s="26" t="str">
        <x:v>https://www.cve.org/CVERecord?id=CVE-2025-14942</x:v>
      </x:c>
      <x:c r="L24" s="26" t="str">
        <x:v>2026-07-23</x:v>
      </x:c>
    </x:row>
    <x:row r="25" ht="72" customHeight="1">
      <x:c r="A25" s="26" t="str">
        <x:v>State machine errors</x:v>
      </x:c>
      <x:c r="B25" s="26" t="n">
        <x:v>2026</x:v>
      </x:c>
      <x:c r="C25" s="26" t="str">
        <x:v>CVE-2026-2645</x:v>
      </x:c>
      <x:c r="D25" s="26" t="str">
        <x:v>Not specified in record</x:v>
      </x:c>
      <x:c r="E25" s="26" t="str">
        <x:v>Acceptance of CertificateVerify Message before ClientKeyExchange in TLS 1.2</x:v>
      </x:c>
      <x:c r="F25" s="26" t="str">
        <x:v>In wolfSSL 5.8.2 and earlier, a logic flaw existed in the TLS 1.2 server state machine implementation. The server could incorrectly accept the CertificateVerify message before the ClientKeyExchange message had been received. This issue affects wolfSSL before 5.8.4 (wolfSSL 5.8.2 and earlier is vulnerable, 5.8.4 is not vulnerable). In 5.8.4 wolfSSL would detect the issue later in the handshake. 5.9.0 was further hardened to catch the issue earlier in the handshake.</x:v>
      </x:c>
      <x:c r="G25" s="27" t="str">
        <x:v>Yes</x:v>
      </x:c>
      <x:c r="H25" s="27" t="str">
        <x:v>Yes</x:v>
      </x:c>
      <x:c r="I25" s="26" t="str">
        <x:v>The CVE record links this public commit/PR. Its publicly visible parent/pre-change revision provides the vulnerable code; the commit/PR diff provides the remediation.</x:v>
      </x:c>
      <x:c r="J25" s="26" t="str">
        <x:v>https://github.com/wolfSSL/wolfssl/pull/9694</x:v>
      </x:c>
      <x:c r="K25" s="26" t="str">
        <x:v>https://www.cve.org/CVERecord?id=CVE-2026-2645</x:v>
      </x:c>
      <x:c r="L25" s="26" t="str">
        <x:v>2026-07-23</x:v>
      </x:c>
    </x:row>
    <x:row r="26" ht="72" customHeight="1">
      <x:c r="A26" s="26" t="str">
        <x:v>State machine errors</x:v>
      </x:c>
      <x:c r="B26" s="26" t="n">
        <x:v>2023</x:v>
      </x:c>
      <x:c r="C26" s="26" t="str">
        <x:v>CVE-2023-34451</x:v>
      </x:c>
      <x:c r="D26" s="26" t="str">
        <x:v>Not specified in record</x:v>
      </x:c>
      <x:c r="E26" s="26" t="str">
        <x:v>CometBFT may duplicate transactions in the mempool's data structures</x:v>
      </x:c>
      <x:c r="F26" s="26" t="str">
        <x:v>CometBFT is a Byzantine Fault Tolerant (BFT) middleware that takes a state transition machine and replicates it on many machines. The mempool maintains two data structures to keep track of outstanding transactions: a list and a map.
These two data structures are supposed to be in sync all the time in the sense that the map tracks the index (if any) of the transaction in the list. In `v0.37.0`, and `v0.37.1`, as well as in `v0.34.28`, and all previous releases of the CometBFT repo2, it is possible to have them out of sync. When this happens, the list may contain several copies of the same transaction. Because the map tracks a single index, it is then no longer possible to remove all the copies of the transaction from the list. This happens even if the duplicated transaction is later committed in a block. The only way to remove the transaction is by restarting the node.
The above problem can be repeated on and on until a sizable number of transactions are stuck in the mempool, in order to try to bring down the target node. The problem is fixed in releases `v0.34.29` and `v0.37.2`. Some workarounds are available. Increasing the value of `cache_size` in `config.toml` makes it very difficult to effectively attack a full node. Not exposing the transaction submission RPC's would mitigate the probability of a successful attack, as the attacker would then have to create a modified (byzantine) full node to be able to perform the attack via p2p.</x:v>
      </x:c>
      <x:c r="G26" s="27" t="str">
        <x:v>Yes</x:v>
      </x:c>
      <x:c r="H26" s="27" t="str">
        <x:v>Yes</x:v>
      </x:c>
      <x:c r="I26" s="26" t="str">
        <x:v>The CVE record links this public commit/PR. Its publicly visible parent/pre-change revision provides the vulnerable code; the commit/PR diff provides the remediation.</x:v>
      </x:c>
      <x:c r="J26" s="26" t="str">
        <x:v>https://github.com/cometbft/cometbft/pull/890</x:v>
      </x:c>
      <x:c r="K26" s="26" t="str">
        <x:v>https://www.cve.org/CVERecord?id=CVE-2023-34451</x:v>
      </x:c>
      <x:c r="L26" s="26" t="str">
        <x:v>2026-07-23</x:v>
      </x:c>
    </x:row>
    <x:row r="27" ht="72" customHeight="1">
      <x:c r="A27" s="26" t="str">
        <x:v>Trust boundary errors</x:v>
      </x:c>
      <x:c r="B27" s="26" t="n">
        <x:v>2023</x:v>
      </x:c>
      <x:c r="C27" s="26" t="str">
        <x:v>CVE-2023-23940</x:v>
      </x:c>
      <x:c r="D27" s="26" t="str">
        <x:v>CWE-345</x:v>
      </x:c>
      <x:c r="E27" s="26" t="str">
        <x:v>OpenZeppelin Contracts for Cairo is vulnerable to signature validation bypass</x:v>
      </x:c>
      <x:c r="F27" s="26" t="str">
        <x:v>OpenZeppelin Contracts for Cairo is a library for secure smart contract development written in Cairo for StarkNet, a decentralized ZK Rollup. `is_valid_eth_signature` is missing a call to `finalize_keccak` after calling `verify_eth_signature`. As a result, any contract using `is_valid_eth_signature` from the account library (such as the `EthAccount` preset) is vulnerable to a malicious sequencer. Specifically, the malicious sequencer would be able to bypass signature validation to impersonate an instance of these accounts. The issue has been patched in 0.6.1.
</x:v>
      </x:c>
      <x:c r="G27" s="27" t="str">
        <x:v>Yes</x:v>
      </x:c>
      <x:c r="H27" s="27" t="str">
        <x:v>Yes</x:v>
      </x:c>
      <x:c r="I27" s="26" t="str">
        <x:v>The CVE record links this public commit/PR. Its publicly visible parent/pre-change revision provides the vulnerable code; the commit/PR diff provides the remediation.</x:v>
      </x:c>
      <x:c r="J27" s="26" t="str">
        <x:v>https://github.com/OpenZeppelin/cairo-contracts/pull/542/commits/6d4cb750478fca2fd916f73297632f899aca9299</x:v>
      </x:c>
      <x:c r="K27" s="26" t="str">
        <x:v>https://www.cve.org/CVERecord?id=CVE-2023-23940</x:v>
      </x:c>
      <x:c r="L27" s="26" t="str">
        <x:v>2026-07-23</x:v>
      </x:c>
    </x:row>
    <x:row r="28" ht="72" customHeight="1">
      <x:c r="A28" s="26" t="str">
        <x:v>Trust boundary errors</x:v>
      </x:c>
      <x:c r="B28" s="26" t="n">
        <x:v>2024</x:v>
      </x:c>
      <x:c r="C28" s="26" t="str">
        <x:v>CVE-2024-12369</x:v>
      </x:c>
      <x:c r="D28" s="26" t="str">
        <x:v>CWE-345</x:v>
      </x:c>
      <x:c r="E28" s="26" t="str">
        <x:v>Elytron-oidc-client: oidc authorization code injection</x:v>
      </x:c>
      <x:c r="F28" s="26" t="str">
        <x:v>A vulnerability was found in OIDC-Client. When using the RH SSO OIDC adapter with EAP 7.x or when using the elytron-oidc-client subsystem with EAP 8.x, authorization code injection attacks can occur, allowing an attacker to inject a stolen authorization code into the attacker's own session with the client with a victim's identity. This is usually done with a Man-in-the-Middle (MitM) or phishing attack.</x:v>
      </x:c>
      <x:c r="G28" s="27" t="str">
        <x:v>Yes</x:v>
      </x:c>
      <x:c r="H28" s="27" t="str">
        <x:v>Yes</x:v>
      </x:c>
      <x:c r="I28" s="26" t="str">
        <x:v>The CVE record links this public commit/PR. Its publicly visible parent/pre-change revision provides the vulnerable code; the commit/PR diff provides the remediation.</x:v>
      </x:c>
      <x:c r="J28" s="26" t="str">
        <x:v>https://github.com/wildfly-security/wildfly-elytron/commit/5ac5e6bbcba58883b3cebb2ddbcec4de140c5ceb</x:v>
      </x:c>
      <x:c r="K28" s="26" t="str">
        <x:v>https://www.cve.org/CVERecord?id=CVE-2024-12369</x:v>
      </x:c>
      <x:c r="L28" s="26" t="str">
        <x:v>2026-07-23</x:v>
      </x:c>
    </x:row>
    <x:row r="29" ht="72" customHeight="1">
      <x:c r="A29" s="26" t="str">
        <x:v>Trust boundary errors</x:v>
      </x:c>
      <x:c r="B29" s="26" t="n">
        <x:v>2025</x:v>
      </x:c>
      <x:c r="C29" s="26" t="str">
        <x:v>CVE-2025-11703</x:v>
      </x:c>
      <x:c r="D29" s="26" t="str">
        <x:v>Not specified in record</x:v>
      </x:c>
      <x:c r="E29" s="26" t="str">
        <x:v>WP Go Maps (formerly WP Google Maps) &lt;= 9.0.48 - Unauthenticated Cache Poisoning</x:v>
      </x:c>
      <x:c r="F29" s="26" t="str">
        <x:v>The WP Go Maps (formerly WP Google Maps) plugin for WordPress is vulnerable to Cache Poisoning in all versions up to, and including, 9.0.48. This is due to the plugin not serving cached data from server-side responses and instead relying on user-input. This makes it possible for unauthenticated attackers to poison the cache location for location search results.</x:v>
      </x:c>
      <x:c r="G29" s="27" t="str">
        <x:v>Yes</x:v>
      </x:c>
      <x:c r="H29" s="27" t="str">
        <x:v>Yes</x:v>
      </x:c>
      <x:c r="I29" s="26" t="str">
        <x:v>The CVE record links this public commit/PR. Its publicly visible parent/pre-change revision provides the vulnerable code; the commit/PR diff provides the remediation.</x:v>
      </x:c>
      <x:c r="J29" s="26" t="str">
        <x:v>https://github.com/CodeCabin/wp-google-maps/pull/1087/files</x:v>
      </x:c>
      <x:c r="K29" s="26" t="str">
        <x:v>https://www.cve.org/CVERecord?id=CVE-2025-11703</x:v>
      </x:c>
      <x:c r="L29" s="26" t="str">
        <x:v>2026-07-23</x:v>
      </x:c>
    </x:row>
    <x:row r="30" ht="72" customHeight="1">
      <x:c r="A30" s="26" t="str">
        <x:v>Trust boundary errors</x:v>
      </x:c>
      <x:c r="B30" s="26" t="n">
        <x:v>2026</x:v>
      </x:c>
      <x:c r="C30" s="26" t="str">
        <x:v>CVE-2026-10664</x:v>
      </x:c>
      <x:c r="D30" s="26" t="str">
        <x:v>Not specified in record</x:v>
      </x:c>
      <x:c r="E30" s="26" t="str">
        <x:v>Out-of-bounds write in nRF70 Wi-Fi driver power-save event handler (unbounded TWT flow count)</x:v>
      </x:c>
      <x:c r="F30" s="26" t="str">
        <x:v>The nRF70 Wi-Fi driver's power-save event handler nrf_wifi_event_proc_get_power_save_info() in drivers/wifi/nrf_wifi/src/wifi_mgmt.c copied TWT (Target Wake Time) flow entries from an nrf_wifi_umac_event_power_save_info event into the fixed-size twt_flows[WIFI_MAX_TWT_FLOWS] (8-element) array of a caller-supplied struct wifi_ps_config, looping over event-provided num_twt_flows without validating it against WIFI_MAX_TWT_FLOWS or checking event_len. When num_twt_flows exceeds 8, the handler writes past the destination array (which is typically on the caller's stack, e.g. the wifi ps shell command) -- an out-of-bounds write of ~40-byte TWT entries -- and reads twt_flow_info[i] past the event buffer. The event is delivered by the nRF70 co-processor firmware in response to a host-initiated power-save GET, so reaching the overflow requires the firmware to emit a malformed or out-of-range event; the trust boundary is host-to-trusted-coprocessor rather than a direct remote-AP write, with over-the-air influence on the flow count being indirect and bounded by the 3-bit TWT flow-id space. Affected: builds with CONFIG_NRF70_STA_MODE on releases through v4.4.0. The fix rejects events with num_twt_flows &gt; WIFI_MAX_TWT_FLOWS or with event_len shorter than the claimed entries, and adds a NULL check on the caller buffer.</x:v>
      </x:c>
      <x:c r="G30" s="27" t="str">
        <x:v>Yes</x:v>
      </x:c>
      <x:c r="H30" s="27" t="str">
        <x:v>Yes</x:v>
      </x:c>
      <x:c r="I30" s="26" t="str">
        <x:v>The CVE record links this public commit/PR. Its publicly visible parent/pre-change revision provides the vulnerable code; the commit/PR diff provides the remediation.</x:v>
      </x:c>
      <x:c r="J30" s="26" t="str">
        <x:v>https://github.com/zephyrproject-rtos/zephyr/commit/a2c4324acd50a5f92e492e6e460e6297af826148</x:v>
      </x:c>
      <x:c r="K30" s="26" t="str">
        <x:v>https://www.cve.org/CVERecord?id=CVE-2026-10664</x:v>
      </x:c>
      <x:c r="L30" s="26" t="str">
        <x:v>2026-07-23</x:v>
      </x:c>
    </x:row>
    <x:row r="31" ht="72" customHeight="1">
      <x:c r="A31" s="26" t="str">
        <x:v>Trust boundary errors</x:v>
      </x:c>
      <x:c r="B31" s="26" t="n">
        <x:v>2023</x:v>
      </x:c>
      <x:c r="C31" s="26" t="str">
        <x:v>CVE-2023-23941</x:v>
      </x:c>
      <x:c r="D31" s="26" t="str">
        <x:v>CWE-345</x:v>
      </x:c>
      <x:c r="E31" s="26" t="str">
        <x:v>SwagPayPal payment not sent to PayPal correctly</x:v>
      </x:c>
      <x:c r="F31" s="26" t="str">
        <x:v>SwagPayPal is a PayPal integration for shopware/platform. If JavaScript-based PayPal checkout methods are used (PayPal Plus, Smart Payment Buttons, SEPA, Pay Later, Venmo, Credit card), the amount and item list sent to PayPal may not be identical to the one in the created order. The problem has been fixed with version 5.4.4. As a workaround, disable the aforementioned payment methods or use the Security Plugin in version &gt;= 1.0.21.</x:v>
      </x:c>
      <x:c r="G31" s="27" t="str">
        <x:v>Yes</x:v>
      </x:c>
      <x:c r="H31" s="27" t="str">
        <x:v>Yes</x:v>
      </x:c>
      <x:c r="I31" s="26" t="str">
        <x:v>The CVE record links this public commit/PR. Its publicly visible parent/pre-change revision provides the vulnerable code; the commit/PR diff provides the remediation.</x:v>
      </x:c>
      <x:c r="J31" s="26" t="str">
        <x:v>https://github.com/shopware/SwagPayPal/commit/57db5f4a57ef0a1646b509b415de9f03bf441b08</x:v>
      </x:c>
      <x:c r="K31" s="26" t="str">
        <x:v>https://www.cve.org/CVERecord?id=CVE-2023-23941</x:v>
      </x:c>
      <x:c r="L31" s="26" t="str">
        <x:v>2026-07-23</x:v>
      </x:c>
    </x:row>
    <x:row r="32" ht="72" customHeight="1">
      <x:c r="A32" s="26" t="str">
        <x:v>Certificate validation errors</x:v>
      </x:c>
      <x:c r="B32" s="26" t="n">
        <x:v>2023</x:v>
      </x:c>
      <x:c r="C32" s="26" t="str">
        <x:v>CVE-2023-0509</x:v>
      </x:c>
      <x:c r="D32" s="26" t="str">
        <x:v>Not specified in record</x:v>
      </x:c>
      <x:c r="E32" s="26" t="str">
        <x:v>Improper Certificate Validation in pyload/pyload</x:v>
      </x:c>
      <x:c r="F32" s="26" t="str">
        <x:v>Improper Certificate Validation in GitHub repository pyload/pyload prior to 0.5.0b3.dev44.</x:v>
      </x:c>
      <x:c r="G32" s="27" t="str">
        <x:v>Yes</x:v>
      </x:c>
      <x:c r="H32" s="27" t="str">
        <x:v>Yes</x:v>
      </x:c>
      <x:c r="I32" s="26" t="str">
        <x:v>The CVE record links this public commit/PR. Its publicly visible parent/pre-change revision provides the vulnerable code; the commit/PR diff provides the remediation.</x:v>
      </x:c>
      <x:c r="J32" s="26" t="str">
        <x:v>https://github.com/pyload/pyload/commit/a9098bdf7406e6faf9df3da6ff2d584e90c13bbb</x:v>
      </x:c>
      <x:c r="K32" s="26" t="str">
        <x:v>https://www.cve.org/CVERecord?id=CVE-2023-0509</x:v>
      </x:c>
      <x:c r="L32" s="26" t="str">
        <x:v>2026-07-23</x:v>
      </x:c>
    </x:row>
    <x:row r="33" ht="72" customHeight="1">
      <x:c r="A33" s="26" t="str">
        <x:v>Certificate validation errors</x:v>
      </x:c>
      <x:c r="B33" s="26" t="n">
        <x:v>2024</x:v>
      </x:c>
      <x:c r="C33" s="26" t="str">
        <x:v>CVE-2024-21543</x:v>
      </x:c>
      <x:c r="D33" s="26" t="str">
        <x:v>CWE-287</x:v>
      </x:c>
      <x:c r="E33" s="26" t="str">
        <x:v>(No CNA title)</x:v>
      </x:c>
      <x:c r="F33" s="26" t="str">
        <x:v>Versions of the package djoser before 2.3.0 are vulnerable to Authentication Bypass when the authenticate() function fails. This is because the system falls back to querying the database directly, granting access to users with valid credentials, and eventually bypassing custom authentication checks such as two-factor authentication, LDAP validations, or requirements from configured AUTHENTICATION_BACKENDS.</x:v>
      </x:c>
      <x:c r="G33" s="27" t="str">
        <x:v>Yes</x:v>
      </x:c>
      <x:c r="H33" s="27" t="str">
        <x:v>Yes</x:v>
      </x:c>
      <x:c r="I33" s="26" t="str">
        <x:v>The CVE record links this public commit/PR. Its publicly visible parent/pre-change revision provides the vulnerable code; the commit/PR diff provides the remediation.</x:v>
      </x:c>
      <x:c r="J33" s="26" t="str">
        <x:v>https://github.com/sunscrapers/djoser/commit/d33c3993c0c735f23cbedc60fa59fce69354f19d</x:v>
      </x:c>
      <x:c r="K33" s="26" t="str">
        <x:v>https://www.cve.org/CVERecord?id=CVE-2024-21543</x:v>
      </x:c>
      <x:c r="L33" s="26" t="str">
        <x:v>2026-07-23</x:v>
      </x:c>
    </x:row>
    <x:row r="34" ht="72" customHeight="1">
      <x:c r="A34" s="26" t="str">
        <x:v>Certificate validation errors</x:v>
      </x:c>
      <x:c r="B34" s="26" t="n">
        <x:v>2025</x:v>
      </x:c>
      <x:c r="C34" s="26" t="str">
        <x:v>CVE-2025-27820</x:v>
      </x:c>
      <x:c r="D34" s="26" t="str">
        <x:v>Not specified in record</x:v>
      </x:c>
      <x:c r="E34" s="26" t="str">
        <x:v>Apache HttpComponents: PSL (Public Suffix List) validation bypass</x:v>
      </x:c>
      <x:c r="F34" s="26" t="str">
        <x:v>A bug in PSL validation logic in Apache HttpClient 5.4.x disables domain checks, affecting cookie management and host name verification. Discovered by the Apache HttpClient team. Fixed in the 5.4.3 release</x:v>
      </x:c>
      <x:c r="G34" s="27" t="str">
        <x:v>Yes</x:v>
      </x:c>
      <x:c r="H34" s="27" t="str">
        <x:v>Yes</x:v>
      </x:c>
      <x:c r="I34" s="26" t="str">
        <x:v>The CVE record links this public commit/PR. Its publicly visible parent/pre-change revision provides the vulnerable code; the commit/PR diff provides the remediation.</x:v>
      </x:c>
      <x:c r="J34" s="26" t="str">
        <x:v>https://github.com/apache/httpcomponents-client/pull/574</x:v>
      </x:c>
      <x:c r="K34" s="26" t="str">
        <x:v>https://www.cve.org/CVERecord?id=CVE-2025-27820</x:v>
      </x:c>
      <x:c r="L34" s="26" t="str">
        <x:v>2026-07-23</x:v>
      </x:c>
    </x:row>
    <x:row r="35" ht="72" customHeight="1">
      <x:c r="A35" s="26" t="str">
        <x:v>Certificate validation errors</x:v>
      </x:c>
      <x:c r="B35" s="26" t="n">
        <x:v>2026</x:v>
      </x:c>
      <x:c r="C35" s="26" t="str">
        <x:v>CVE-2026-10098</x:v>
      </x:c>
      <x:c r="D35" s="26" t="str">
        <x:v>Not specified in record</x:v>
      </x:c>
      <x:c r="E35" s="26" t="str">
        <x:v>OCSP CertID serial-number length-confusion in wolfSSL_OCSP_resp_find_status</x:v>
      </x:c>
      <x:c r="F35" s="26" t="str">
        <x:v>OCSP CertID serial-number length-confusion in wolfSSL_OCSP_resp_find_status allows a same-issuer SingleResponse whose serial is a prefix of the target serial to be reported as the revocation status of a different certificate. The lookup compared serial-number bytes without first requiring the two serial numbers to be of equal length, so a SingleResponse for one certificate (same issuer) whose serial is a prefix of the target's serial would match, returning the wrong certificate's status. The fix requires the serial lengths to be equal before comparing the serial bytes.</x:v>
      </x:c>
      <x:c r="G35" s="27" t="str">
        <x:v>Yes</x:v>
      </x:c>
      <x:c r="H35" s="27" t="str">
        <x:v>Yes</x:v>
      </x:c>
      <x:c r="I35" s="26" t="str">
        <x:v>The CVE record links this public commit/PR. Its publicly visible parent/pre-change revision provides the vulnerable code; the commit/PR diff provides the remediation.</x:v>
      </x:c>
      <x:c r="J35" s="26" t="str">
        <x:v>https://github.com/wolfSSL/wolfssl/pull/10554</x:v>
      </x:c>
      <x:c r="K35" s="26" t="str">
        <x:v>https://www.cve.org/CVERecord?id=CVE-2026-10098</x:v>
      </x:c>
      <x:c r="L35" s="26" t="str">
        <x:v>2026-07-23</x:v>
      </x:c>
    </x:row>
    <x:row r="36" ht="72" customHeight="1">
      <x:c r="A36" s="26" t="str">
        <x:v>Certificate validation errors</x:v>
      </x:c>
      <x:c r="B36" s="26" t="n">
        <x:v>2023</x:v>
      </x:c>
      <x:c r="C36" s="26" t="str">
        <x:v>CVE-2023-25392</x:v>
      </x:c>
      <x:c r="D36" s="26" t="str">
        <x:v>Not specified in record</x:v>
      </x:c>
      <x:c r="E36" s="26" t="str">
        <x:v>(No CNA title)</x:v>
      </x:c>
      <x:c r="F36" s="26" t="str">
        <x:v>Allegro Tech BigFlow &lt;1.6 is vulnerable to Missing SSL Certificate Validation.</x:v>
      </x:c>
      <x:c r="G36" s="27" t="str">
        <x:v>Yes</x:v>
      </x:c>
      <x:c r="H36" s="27" t="str">
        <x:v>Yes</x:v>
      </x:c>
      <x:c r="I36" s="26" t="str">
        <x:v>The CVE record links this public commit/PR. Its publicly visible parent/pre-change revision provides the vulnerable code; the commit/PR diff provides the remediation.</x:v>
      </x:c>
      <x:c r="J36" s="26" t="str">
        <x:v>https://github.com/allegro/bigflow/pull/357</x:v>
      </x:c>
      <x:c r="K36" s="26" t="str">
        <x:v>https://www.cve.org/CVERecord?id=CVE-2023-25392</x:v>
      </x:c>
      <x:c r="L36" s="26" t="str">
        <x:v>2026-07-23</x:v>
      </x:c>
    </x:row>
  </x:sheetData>
  <x:mergeCells>
    <x:mergeCell ref="A1:L1"/>
    <x:mergeCell ref="A3:L3"/>
  </x:mergeCells>
  <x:pageMargins left="0.7" right="0.7" top="0.75" bottom="0.75" header="0.3" footer="0.3"/>
  <x:tableParts count="1">
    <x:tablePart xmlns:r="http://schemas.openxmlformats.org/officeDocument/2006/relationships" r:id="Rc01d78c39962450d"/>
  </x:tableParts>
</x:worksheet>
</file>